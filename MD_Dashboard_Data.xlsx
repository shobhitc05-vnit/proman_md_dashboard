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obh\Downloads\"/>
    </mc:Choice>
  </mc:AlternateContent>
  <xr:revisionPtr revIDLastSave="0" documentId="13_ncr:1_{B2153977-29A9-44A8-B013-E390CF9207C4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Revenue_Summary" sheetId="1" r:id="rId1"/>
    <sheet name="Project_Status" sheetId="2" r:id="rId2"/>
    <sheet name="PnL_Summary" sheetId="3" r:id="rId3"/>
    <sheet name="OrderBook" sheetId="4" r:id="rId4"/>
    <sheet name="Collections" sheetId="5" r:id="rId5"/>
    <sheet name="Manpower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H8" i="6"/>
  <c r="G8" i="6"/>
  <c r="F8" i="6"/>
  <c r="E8" i="6"/>
  <c r="D8" i="6"/>
  <c r="C8" i="6"/>
  <c r="B8" i="6"/>
  <c r="K6" i="5"/>
  <c r="K5" i="5"/>
  <c r="K4" i="5"/>
  <c r="K3" i="5"/>
  <c r="K2" i="5"/>
  <c r="F11" i="3"/>
  <c r="H11" i="3" s="1"/>
  <c r="F9" i="3"/>
  <c r="H9" i="3" s="1"/>
  <c r="F7" i="3"/>
  <c r="H7" i="3" s="1"/>
  <c r="F6" i="3"/>
  <c r="H6" i="3" s="1"/>
  <c r="E6" i="3"/>
  <c r="E8" i="3" s="1"/>
  <c r="E10" i="3" s="1"/>
  <c r="E12" i="3" s="1"/>
  <c r="D6" i="3"/>
  <c r="D8" i="3" s="1"/>
  <c r="D10" i="3" s="1"/>
  <c r="D12" i="3" s="1"/>
  <c r="C6" i="3"/>
  <c r="C8" i="3" s="1"/>
  <c r="C10" i="3" s="1"/>
  <c r="C12" i="3" s="1"/>
  <c r="B6" i="3"/>
  <c r="B8" i="3" s="1"/>
  <c r="F5" i="3"/>
  <c r="H5" i="3" s="1"/>
  <c r="F4" i="3"/>
  <c r="H4" i="3" s="1"/>
  <c r="F3" i="3"/>
  <c r="F2" i="3"/>
  <c r="I6" i="2"/>
  <c r="I5" i="2"/>
  <c r="I4" i="2"/>
  <c r="I3" i="2"/>
  <c r="I2" i="2"/>
  <c r="F8" i="3" l="1"/>
  <c r="H8" i="3" s="1"/>
  <c r="B10" i="3"/>
  <c r="H3" i="3"/>
  <c r="H2" i="3"/>
  <c r="F10" i="3" l="1"/>
  <c r="H10" i="3" s="1"/>
  <c r="B12" i="3"/>
  <c r="F12" i="3" s="1"/>
  <c r="H12" i="3" s="1"/>
</calcChain>
</file>

<file path=xl/sharedStrings.xml><?xml version="1.0" encoding="utf-8"?>
<sst xmlns="http://schemas.openxmlformats.org/spreadsheetml/2006/main" count="182" uniqueCount="152">
  <si>
    <t>Month</t>
  </si>
  <si>
    <t>Year</t>
  </si>
  <si>
    <t>Booked Orders (INR)</t>
  </si>
  <si>
    <t>Invoiced Amount (INR)</t>
  </si>
  <si>
    <t>Collections (INR)</t>
  </si>
  <si>
    <t>Outstanding (INR)</t>
  </si>
  <si>
    <t>Target Orders (INR)</t>
  </si>
  <si>
    <t>Achievement (%)</t>
  </si>
  <si>
    <t>January</t>
  </si>
  <si>
    <t>February</t>
  </si>
  <si>
    <t>March</t>
  </si>
  <si>
    <t>April</t>
  </si>
  <si>
    <t>May</t>
  </si>
  <si>
    <t>Project Code</t>
  </si>
  <si>
    <t>Project Name</t>
  </si>
  <si>
    <t>Customer</t>
  </si>
  <si>
    <t>Contract Value (INR)</t>
  </si>
  <si>
    <t>Start Date</t>
  </si>
  <si>
    <t>End Date</t>
  </si>
  <si>
    <t>% Complete</t>
  </si>
  <si>
    <t>Invoiced to Date (INR)</t>
  </si>
  <si>
    <t>Balance to Invoice (INR)</t>
  </si>
  <si>
    <t>Status</t>
  </si>
  <si>
    <t>Project Manager</t>
  </si>
  <si>
    <t>Delay (days)</t>
  </si>
  <si>
    <t>Remarks</t>
  </si>
  <si>
    <t>PRJ-NTPC-01</t>
  </si>
  <si>
    <t>1200 TPH Conveyor System</t>
  </si>
  <si>
    <t>NTPC Sipat</t>
  </si>
  <si>
    <t>20-Mar-2026</t>
  </si>
  <si>
    <t>20-Mar-2027</t>
  </si>
  <si>
    <t>On Track</t>
  </si>
  <si>
    <t>Channakeshava</t>
  </si>
  <si>
    <t>Civil work in progress</t>
  </si>
  <si>
    <t>PRJ-TATA-01</t>
  </si>
  <si>
    <t>Cement Belt System</t>
  </si>
  <si>
    <t>Tata Projects</t>
  </si>
  <si>
    <t>02-May-2026</t>
  </si>
  <si>
    <t>02-Nov-2026</t>
  </si>
  <si>
    <t>Vijayakumar</t>
  </si>
  <si>
    <t>Drawings under approval</t>
  </si>
  <si>
    <t>PRJ-NLC-01</t>
  </si>
  <si>
    <t>Coal Handling Phase 1</t>
  </si>
  <si>
    <t>NLC India</t>
  </si>
  <si>
    <t>01-Nov-2025</t>
  </si>
  <si>
    <t>01-May-2026</t>
  </si>
  <si>
    <t>Delayed</t>
  </si>
  <si>
    <t>Nitin</t>
  </si>
  <si>
    <t>Commissioning snags</t>
  </si>
  <si>
    <t>PRJ-IRCON-01</t>
  </si>
  <si>
    <t>Track Conveyor System</t>
  </si>
  <si>
    <t>IRCON</t>
  </si>
  <si>
    <t>01-Jan-2026</t>
  </si>
  <si>
    <t>01-Jul-2026</t>
  </si>
  <si>
    <t>Structural erection done</t>
  </si>
  <si>
    <t>PRJ-BHEL-01</t>
  </si>
  <si>
    <t>Fly Ash System</t>
  </si>
  <si>
    <t>BHEL Trichy</t>
  </si>
  <si>
    <t>15-Oct-2025</t>
  </si>
  <si>
    <t>15-Apr-2026</t>
  </si>
  <si>
    <t>Closed</t>
  </si>
  <si>
    <t>Commissioned &amp; handed over</t>
  </si>
  <si>
    <t>Category</t>
  </si>
  <si>
    <t>Q1 FY26 (INR)</t>
  </si>
  <si>
    <t>Q2 FY26 (INR)</t>
  </si>
  <si>
    <t>Q3 FY26 (INR)</t>
  </si>
  <si>
    <t>Q4 FY26 (INR)</t>
  </si>
  <si>
    <t>FY26 Total (INR)</t>
  </si>
  <si>
    <t>FY25 Total (INR)</t>
  </si>
  <si>
    <t>YoY Growth (%)</t>
  </si>
  <si>
    <t>Revenue</t>
  </si>
  <si>
    <t>Material Cost</t>
  </si>
  <si>
    <t>Subcontracting</t>
  </si>
  <si>
    <t>Gross Profit</t>
  </si>
  <si>
    <t>Overheads</t>
  </si>
  <si>
    <t>EBITDA</t>
  </si>
  <si>
    <t>Depreciation</t>
  </si>
  <si>
    <t>EBIT</t>
  </si>
  <si>
    <t>Interest</t>
  </si>
  <si>
    <t>PBT</t>
  </si>
  <si>
    <t>SO Number</t>
  </si>
  <si>
    <t>Segment</t>
  </si>
  <si>
    <t>Order Value (INR)</t>
  </si>
  <si>
    <t>Balance to Execute (INR)</t>
  </si>
  <si>
    <t>Expected Completion</t>
  </si>
  <si>
    <t>Priority</t>
  </si>
  <si>
    <t>AM Name</t>
  </si>
  <si>
    <t>SO-2026-001</t>
  </si>
  <si>
    <t>NTPC</t>
  </si>
  <si>
    <t>Power</t>
  </si>
  <si>
    <t>Mar-2027</t>
  </si>
  <si>
    <t>High</t>
  </si>
  <si>
    <t>Umasankar</t>
  </si>
  <si>
    <t>SO-2026-002</t>
  </si>
  <si>
    <t>Cement</t>
  </si>
  <si>
    <t>Nov-2026</t>
  </si>
  <si>
    <t>Vinayak</t>
  </si>
  <si>
    <t>SO-2025-008</t>
  </si>
  <si>
    <t>Railways</t>
  </si>
  <si>
    <t>Jul-2026</t>
  </si>
  <si>
    <t>Medium</t>
  </si>
  <si>
    <t>Jaiprakash</t>
  </si>
  <si>
    <t>SO-2025-005</t>
  </si>
  <si>
    <t>Coal</t>
  </si>
  <si>
    <t>May-2026</t>
  </si>
  <si>
    <t>Low</t>
  </si>
  <si>
    <t>Mohanraj</t>
  </si>
  <si>
    <t>SO-2025-003</t>
  </si>
  <si>
    <t>BHEL</t>
  </si>
  <si>
    <t>Collection ID</t>
  </si>
  <si>
    <t>Invoice No</t>
  </si>
  <si>
    <t>Invoice Date</t>
  </si>
  <si>
    <t>Invoice Amount (INR)</t>
  </si>
  <si>
    <t>Collected Amount (INR)</t>
  </si>
  <si>
    <t>Collection Date</t>
  </si>
  <si>
    <t>Payment Mode</t>
  </si>
  <si>
    <t>Days to Collect</t>
  </si>
  <si>
    <t>COL-001</t>
  </si>
  <si>
    <t>INV-2026-012</t>
  </si>
  <si>
    <t>01-Apr-2026</t>
  </si>
  <si>
    <t>10-Apr-2026</t>
  </si>
  <si>
    <t>RTGS</t>
  </si>
  <si>
    <t>COL-002</t>
  </si>
  <si>
    <t>INV-2026-008</t>
  </si>
  <si>
    <t>15-Mar-2026</t>
  </si>
  <si>
    <t>28-Mar-2026</t>
  </si>
  <si>
    <t>COL-003</t>
  </si>
  <si>
    <t>INV-2026-015</t>
  </si>
  <si>
    <t>20-Apr-2026</t>
  </si>
  <si>
    <t>05-May-2026</t>
  </si>
  <si>
    <t>NEFT</t>
  </si>
  <si>
    <t>COL-004</t>
  </si>
  <si>
    <t>INV-2026-018</t>
  </si>
  <si>
    <t>Pending</t>
  </si>
  <si>
    <t>COL-005</t>
  </si>
  <si>
    <t>INV-2026-005</t>
  </si>
  <si>
    <t>01-Mar-2026</t>
  </si>
  <si>
    <t>Department</t>
  </si>
  <si>
    <t>Total Headcount</t>
  </si>
  <si>
    <t>On-Site</t>
  </si>
  <si>
    <t>Office</t>
  </si>
  <si>
    <t>Contractor</t>
  </si>
  <si>
    <t>Open Positions</t>
  </si>
  <si>
    <t>Attrition YTD</t>
  </si>
  <si>
    <t>Avg Experience (yrs)</t>
  </si>
  <si>
    <t>Engineering</t>
  </si>
  <si>
    <t>IM Sales</t>
  </si>
  <si>
    <t>Procurement</t>
  </si>
  <si>
    <t>Projects</t>
  </si>
  <si>
    <t>Quality</t>
  </si>
  <si>
    <t>Finance &amp; Admin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</si>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</sst>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9" fontId="1" fillId="0" borderId="1" xfId="1" applyBorder="1"/>
    <xf numFmtId="164" fontId="2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/>
    <xf numFmtId="164" fontId="3" fillId="0" borderId="1" xfId="0" applyNumberFormat="1" applyFont="1" applyBorder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12" customWidth="1"/>
    <col min="2" max="2" width="8" customWidth="1"/>
    <col min="3" max="4" width="22" customWidth="1"/>
    <col min="5" max="6" width="18" customWidth="1"/>
    <col min="7" max="7" width="20" customWidth="1"/>
    <col min="8" max="8" width="16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 t="s">
        <v>8</v>
      </c>
      <c r="B2" s="2">
        <v>2026</v>
      </c>
      <c r="C2" s="2">
        <v>18500000</v>
      </c>
      <c r="D2" s="2">
        <v>12000000</v>
      </c>
      <c r="E2" s="2">
        <v>10500000</v>
      </c>
      <c r="F2" s="2">
        <v>1500000</v>
      </c>
      <c r="G2" s="2">
        <v>20000000</v>
      </c>
      <c r="H2" s="4">
        <f>C2/G2</f>
        <v>0.92500000000000004</v>
      </c>
    </row>
    <row r="3" spans="1:8" ht="15" customHeight="1" x14ac:dyDescent="0.3">
      <c r="A3" s="3" t="s">
        <v>9</v>
      </c>
      <c r="B3" s="3">
        <v>2026</v>
      </c>
      <c r="C3" s="3">
        <v>22000000</v>
      </c>
      <c r="D3" s="3">
        <v>15000000</v>
      </c>
      <c r="E3" s="3">
        <v>14000000</v>
      </c>
      <c r="F3" s="3">
        <v>1000000</v>
      </c>
      <c r="G3" s="3">
        <v>20000000</v>
      </c>
      <c r="H3" s="4">
        <f t="shared" ref="H3:H6" si="0">C3/G3</f>
        <v>1.1000000000000001</v>
      </c>
    </row>
    <row r="4" spans="1:8" ht="15" customHeight="1" x14ac:dyDescent="0.3">
      <c r="A4" s="2" t="s">
        <v>10</v>
      </c>
      <c r="B4" s="2">
        <v>2026</v>
      </c>
      <c r="C4" s="2">
        <v>38500000</v>
      </c>
      <c r="D4" s="2">
        <v>18000000</v>
      </c>
      <c r="E4" s="2">
        <v>17000000</v>
      </c>
      <c r="F4" s="2">
        <v>1000000</v>
      </c>
      <c r="G4" s="2">
        <v>25000000</v>
      </c>
      <c r="H4" s="4">
        <f t="shared" si="0"/>
        <v>1.54</v>
      </c>
    </row>
    <row r="5" spans="1:8" ht="15" customHeight="1" x14ac:dyDescent="0.3">
      <c r="A5" s="3" t="s">
        <v>11</v>
      </c>
      <c r="B5" s="3">
        <v>2026</v>
      </c>
      <c r="C5" s="3">
        <v>12000000</v>
      </c>
      <c r="D5" s="3">
        <v>14000000</v>
      </c>
      <c r="E5" s="3">
        <v>12500000</v>
      </c>
      <c r="F5" s="3">
        <v>1500000</v>
      </c>
      <c r="G5" s="3">
        <v>20000000</v>
      </c>
      <c r="H5" s="4">
        <f t="shared" si="0"/>
        <v>0.6</v>
      </c>
    </row>
    <row r="6" spans="1:8" ht="15" customHeight="1" x14ac:dyDescent="0.3">
      <c r="A6" s="2" t="s">
        <v>12</v>
      </c>
      <c r="B6" s="2">
        <v>2026</v>
      </c>
      <c r="C6" s="2">
        <v>22500000</v>
      </c>
      <c r="D6" s="2">
        <v>16000000</v>
      </c>
      <c r="E6" s="2">
        <v>15000000</v>
      </c>
      <c r="F6" s="2">
        <v>1000000</v>
      </c>
      <c r="G6" s="2">
        <v>25000000</v>
      </c>
      <c r="H6" s="4">
        <f t="shared" si="0"/>
        <v>0.9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Normal="100" workbookViewId="0">
      <pane ySplit="1" topLeftCell="A2" activePane="bottomLeft" state="frozen"/>
      <selection pane="bottomLeft" activeCell="I2" sqref="I2"/>
    </sheetView>
  </sheetViews>
  <sheetFormatPr defaultColWidth="8.6640625" defaultRowHeight="14.4" x14ac:dyDescent="0.3"/>
  <cols>
    <col min="1" max="1" width="14" customWidth="1"/>
    <col min="2" max="2" width="28" customWidth="1"/>
    <col min="3" max="3" width="20" customWidth="1"/>
    <col min="4" max="4" width="22" customWidth="1"/>
    <col min="5" max="6" width="14" customWidth="1"/>
    <col min="7" max="7" width="12" customWidth="1"/>
    <col min="8" max="9" width="22" customWidth="1"/>
    <col min="10" max="10" width="12" customWidth="1"/>
    <col min="11" max="11" width="16" customWidth="1"/>
    <col min="12" max="12" width="12" customWidth="1"/>
    <col min="13" max="13" width="28" customWidth="1"/>
  </cols>
  <sheetData>
    <row r="1" spans="1:13" ht="30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ht="15" customHeight="1" x14ac:dyDescent="0.3">
      <c r="A2" s="2" t="s">
        <v>26</v>
      </c>
      <c r="B2" s="2" t="s">
        <v>27</v>
      </c>
      <c r="C2" s="2" t="s">
        <v>28</v>
      </c>
      <c r="D2" s="2">
        <v>38500000</v>
      </c>
      <c r="E2" s="2" t="s">
        <v>29</v>
      </c>
      <c r="F2" s="2" t="s">
        <v>30</v>
      </c>
      <c r="G2" s="2">
        <v>12</v>
      </c>
      <c r="H2" s="2">
        <v>4620000</v>
      </c>
      <c r="I2" s="2">
        <f>D2-H2</f>
        <v>33880000</v>
      </c>
      <c r="J2" s="2" t="s">
        <v>31</v>
      </c>
      <c r="K2" s="2" t="s">
        <v>32</v>
      </c>
      <c r="L2" s="2">
        <v>0</v>
      </c>
      <c r="M2" s="2" t="s">
        <v>33</v>
      </c>
    </row>
    <row r="3" spans="1:13" ht="15" customHeight="1" x14ac:dyDescent="0.3">
      <c r="A3" s="3" t="s">
        <v>34</v>
      </c>
      <c r="B3" s="3" t="s">
        <v>35</v>
      </c>
      <c r="C3" s="3" t="s">
        <v>36</v>
      </c>
      <c r="D3" s="3">
        <v>22500000</v>
      </c>
      <c r="E3" s="3" t="s">
        <v>37</v>
      </c>
      <c r="F3" s="3" t="s">
        <v>38</v>
      </c>
      <c r="G3" s="3">
        <v>5</v>
      </c>
      <c r="H3" s="3">
        <v>1125000</v>
      </c>
      <c r="I3" s="3">
        <f>D3-H3</f>
        <v>21375000</v>
      </c>
      <c r="J3" s="3" t="s">
        <v>31</v>
      </c>
      <c r="K3" s="3" t="s">
        <v>39</v>
      </c>
      <c r="L3" s="3">
        <v>0</v>
      </c>
      <c r="M3" s="3" t="s">
        <v>40</v>
      </c>
    </row>
    <row r="4" spans="1:13" ht="15" customHeight="1" x14ac:dyDescent="0.3">
      <c r="A4" s="2" t="s">
        <v>41</v>
      </c>
      <c r="B4" s="2" t="s">
        <v>42</v>
      </c>
      <c r="C4" s="2" t="s">
        <v>43</v>
      </c>
      <c r="D4" s="2">
        <v>35000000</v>
      </c>
      <c r="E4" s="2" t="s">
        <v>44</v>
      </c>
      <c r="F4" s="2" t="s">
        <v>45</v>
      </c>
      <c r="G4" s="2">
        <v>95</v>
      </c>
      <c r="H4" s="2">
        <v>33250000</v>
      </c>
      <c r="I4" s="2">
        <f>D4-H4</f>
        <v>1750000</v>
      </c>
      <c r="J4" s="2" t="s">
        <v>46</v>
      </c>
      <c r="K4" s="2" t="s">
        <v>47</v>
      </c>
      <c r="L4" s="2">
        <v>18</v>
      </c>
      <c r="M4" s="2" t="s">
        <v>48</v>
      </c>
    </row>
    <row r="5" spans="1:13" ht="15" customHeight="1" x14ac:dyDescent="0.3">
      <c r="A5" s="3" t="s">
        <v>49</v>
      </c>
      <c r="B5" s="3" t="s">
        <v>50</v>
      </c>
      <c r="C5" s="3" t="s">
        <v>51</v>
      </c>
      <c r="D5" s="3">
        <v>19200000</v>
      </c>
      <c r="E5" s="3" t="s">
        <v>52</v>
      </c>
      <c r="F5" s="3" t="s">
        <v>53</v>
      </c>
      <c r="G5" s="3">
        <v>60</v>
      </c>
      <c r="H5" s="3">
        <v>11520000</v>
      </c>
      <c r="I5" s="3">
        <f>D5-H5</f>
        <v>7680000</v>
      </c>
      <c r="J5" s="3" t="s">
        <v>31</v>
      </c>
      <c r="K5" s="3" t="s">
        <v>32</v>
      </c>
      <c r="L5" s="3">
        <v>0</v>
      </c>
      <c r="M5" s="3" t="s">
        <v>54</v>
      </c>
    </row>
    <row r="6" spans="1:13" ht="15" customHeight="1" x14ac:dyDescent="0.3">
      <c r="A6" s="2" t="s">
        <v>55</v>
      </c>
      <c r="B6" s="2" t="s">
        <v>56</v>
      </c>
      <c r="C6" s="2" t="s">
        <v>57</v>
      </c>
      <c r="D6" s="2">
        <v>8500000</v>
      </c>
      <c r="E6" s="2" t="s">
        <v>58</v>
      </c>
      <c r="F6" s="2" t="s">
        <v>59</v>
      </c>
      <c r="G6" s="2">
        <v>100</v>
      </c>
      <c r="H6" s="2">
        <v>8500000</v>
      </c>
      <c r="I6" s="2">
        <f>D6-H6</f>
        <v>0</v>
      </c>
      <c r="J6" s="2" t="s">
        <v>60</v>
      </c>
      <c r="K6" s="2" t="s">
        <v>39</v>
      </c>
      <c r="L6" s="2">
        <v>0</v>
      </c>
      <c r="M6" s="2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zoomScaleNormal="100" workbookViewId="0">
      <pane ySplit="1" topLeftCell="A2" activePane="bottomLeft" state="frozen"/>
      <selection pane="bottomLeft" sqref="A1:H12"/>
    </sheetView>
  </sheetViews>
  <sheetFormatPr defaultColWidth="8.6640625" defaultRowHeight="14.4" x14ac:dyDescent="0.3"/>
  <cols>
    <col min="1" max="1" width="20" customWidth="1"/>
    <col min="2" max="7" width="18" customWidth="1"/>
    <col min="8" max="8" width="16" customWidth="1"/>
  </cols>
  <sheetData>
    <row r="1" spans="1:8" ht="30" customHeight="1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ht="15" customHeight="1" x14ac:dyDescent="0.3">
      <c r="A2" s="2" t="s">
        <v>70</v>
      </c>
      <c r="B2" s="2">
        <v>48000000</v>
      </c>
      <c r="C2" s="2">
        <v>52000000</v>
      </c>
      <c r="D2" s="2">
        <v>61000000</v>
      </c>
      <c r="E2" s="2">
        <v>73000000</v>
      </c>
      <c r="F2" s="2">
        <f>SUM(B3:E3)</f>
        <v>234000000</v>
      </c>
      <c r="G2" s="2">
        <v>180000000</v>
      </c>
      <c r="H2" s="2">
        <f>(F3-G3)/G3</f>
        <v>0.3</v>
      </c>
    </row>
    <row r="3" spans="1:8" ht="15" customHeight="1" x14ac:dyDescent="0.3">
      <c r="A3" s="3" t="s">
        <v>71</v>
      </c>
      <c r="B3" s="3">
        <v>48000000</v>
      </c>
      <c r="C3" s="3">
        <v>52000000</v>
      </c>
      <c r="D3" s="3">
        <v>61000000</v>
      </c>
      <c r="E3" s="3">
        <v>73000000</v>
      </c>
      <c r="F3" s="3">
        <f t="shared" ref="F3:F12" si="0">SUM(B3:E3)</f>
        <v>234000000</v>
      </c>
      <c r="G3" s="3">
        <v>180000000</v>
      </c>
      <c r="H3" s="3">
        <f t="shared" ref="H3:H12" si="1">(F3-G3)/G3</f>
        <v>0.3</v>
      </c>
    </row>
    <row r="4" spans="1:8" ht="15" customHeight="1" x14ac:dyDescent="0.3">
      <c r="A4" s="2" t="s">
        <v>72</v>
      </c>
      <c r="B4" s="2">
        <v>24000000</v>
      </c>
      <c r="C4" s="2">
        <v>26000000</v>
      </c>
      <c r="D4" s="2">
        <v>30500000</v>
      </c>
      <c r="E4" s="2">
        <v>36500000</v>
      </c>
      <c r="F4" s="2">
        <f t="shared" si="0"/>
        <v>117000000</v>
      </c>
      <c r="G4" s="2">
        <v>91000000</v>
      </c>
      <c r="H4" s="2">
        <f t="shared" si="1"/>
        <v>0.2857142857142857</v>
      </c>
    </row>
    <row r="5" spans="1:8" ht="15" customHeight="1" x14ac:dyDescent="0.3">
      <c r="A5" s="3" t="s">
        <v>73</v>
      </c>
      <c r="B5" s="3">
        <v>7200000</v>
      </c>
      <c r="C5" s="3">
        <v>7800000</v>
      </c>
      <c r="D5" s="3">
        <v>9150000</v>
      </c>
      <c r="E5" s="3">
        <v>10950000</v>
      </c>
      <c r="F5" s="3">
        <f t="shared" si="0"/>
        <v>35100000</v>
      </c>
      <c r="G5" s="3">
        <v>27000000</v>
      </c>
      <c r="H5" s="3">
        <f t="shared" si="1"/>
        <v>0.3</v>
      </c>
    </row>
    <row r="6" spans="1:8" ht="15" customHeight="1" x14ac:dyDescent="0.3">
      <c r="A6" s="2" t="s">
        <v>74</v>
      </c>
      <c r="B6" s="2">
        <f>B3-B4-B5</f>
        <v>16800000</v>
      </c>
      <c r="C6" s="2">
        <f>C3-C4-C5</f>
        <v>18200000</v>
      </c>
      <c r="D6" s="2">
        <f>D3-D4-D5</f>
        <v>21350000</v>
      </c>
      <c r="E6" s="2">
        <f>E3-E4-E5</f>
        <v>25550000</v>
      </c>
      <c r="F6" s="2">
        <f t="shared" si="0"/>
        <v>81900000</v>
      </c>
      <c r="G6" s="2">
        <v>62000000</v>
      </c>
      <c r="H6" s="2">
        <f t="shared" si="1"/>
        <v>0.32096774193548389</v>
      </c>
    </row>
    <row r="7" spans="1:8" ht="15" customHeight="1" x14ac:dyDescent="0.3">
      <c r="A7" s="3" t="s">
        <v>75</v>
      </c>
      <c r="B7" s="3">
        <v>9600000</v>
      </c>
      <c r="C7" s="3">
        <v>10400000</v>
      </c>
      <c r="D7" s="3">
        <v>12200000</v>
      </c>
      <c r="E7" s="3">
        <v>14600000</v>
      </c>
      <c r="F7" s="3">
        <f t="shared" si="0"/>
        <v>46800000</v>
      </c>
      <c r="G7" s="3">
        <v>38000000</v>
      </c>
      <c r="H7" s="3">
        <f t="shared" si="1"/>
        <v>0.23157894736842105</v>
      </c>
    </row>
    <row r="8" spans="1:8" ht="15" customHeight="1" x14ac:dyDescent="0.3">
      <c r="A8" s="2" t="s">
        <v>76</v>
      </c>
      <c r="B8" s="2">
        <f>B6-B7</f>
        <v>7200000</v>
      </c>
      <c r="C8" s="2">
        <f>C6-C7</f>
        <v>7800000</v>
      </c>
      <c r="D8" s="2">
        <f>D6-D7</f>
        <v>9150000</v>
      </c>
      <c r="E8" s="2">
        <f>E6-E7</f>
        <v>10950000</v>
      </c>
      <c r="F8" s="2">
        <f t="shared" si="0"/>
        <v>35100000</v>
      </c>
      <c r="G8" s="2">
        <v>24000000</v>
      </c>
      <c r="H8" s="2">
        <f t="shared" si="1"/>
        <v>0.46250000000000002</v>
      </c>
    </row>
    <row r="9" spans="1:8" ht="15" customHeight="1" x14ac:dyDescent="0.3">
      <c r="A9" s="3" t="s">
        <v>77</v>
      </c>
      <c r="B9" s="3">
        <v>800000</v>
      </c>
      <c r="C9" s="3">
        <v>800000</v>
      </c>
      <c r="D9" s="3">
        <v>800000</v>
      </c>
      <c r="E9" s="3">
        <v>800000</v>
      </c>
      <c r="F9" s="3">
        <f t="shared" si="0"/>
        <v>3200000</v>
      </c>
      <c r="G9" s="3">
        <v>3000000</v>
      </c>
      <c r="H9" s="3">
        <f t="shared" si="1"/>
        <v>6.6666666666666666E-2</v>
      </c>
    </row>
    <row r="10" spans="1:8" ht="15" customHeight="1" x14ac:dyDescent="0.3">
      <c r="A10" s="2" t="s">
        <v>78</v>
      </c>
      <c r="B10" s="2">
        <f>B8-B9</f>
        <v>6400000</v>
      </c>
      <c r="C10" s="2">
        <f>C8-C9</f>
        <v>7000000</v>
      </c>
      <c r="D10" s="2">
        <f>D8-D9</f>
        <v>8350000</v>
      </c>
      <c r="E10" s="2">
        <f>E8-E9</f>
        <v>10150000</v>
      </c>
      <c r="F10" s="2">
        <f t="shared" si="0"/>
        <v>31900000</v>
      </c>
      <c r="G10" s="2">
        <v>21000000</v>
      </c>
      <c r="H10" s="2">
        <f t="shared" si="1"/>
        <v>0.51904761904761909</v>
      </c>
    </row>
    <row r="11" spans="1:8" ht="15" customHeight="1" x14ac:dyDescent="0.3">
      <c r="A11" s="3" t="s">
        <v>79</v>
      </c>
      <c r="B11" s="3">
        <v>1200000</v>
      </c>
      <c r="C11" s="3">
        <v>1100000</v>
      </c>
      <c r="D11" s="3">
        <v>1050000</v>
      </c>
      <c r="E11" s="3">
        <v>1000000</v>
      </c>
      <c r="F11" s="3">
        <f t="shared" si="0"/>
        <v>4350000</v>
      </c>
      <c r="G11" s="3">
        <v>5200000</v>
      </c>
      <c r="H11" s="3">
        <f t="shared" si="1"/>
        <v>-0.16346153846153846</v>
      </c>
    </row>
    <row r="12" spans="1:8" ht="15" customHeight="1" x14ac:dyDescent="0.3">
      <c r="B12">
        <f>B10-B11</f>
        <v>5200000</v>
      </c>
      <c r="C12">
        <f>C10-C11</f>
        <v>5900000</v>
      </c>
      <c r="D12">
        <f>D10-D11</f>
        <v>7300000</v>
      </c>
      <c r="E12">
        <f>E10-E11</f>
        <v>9150000</v>
      </c>
      <c r="F12">
        <f t="shared" si="0"/>
        <v>27550000</v>
      </c>
      <c r="G12">
        <v>15800000</v>
      </c>
      <c r="H12">
        <f t="shared" si="1"/>
        <v>0.74367088607594933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Normal="100" workbookViewId="0">
      <pane ySplit="1" topLeftCell="A2" activePane="bottomLeft" state="frozen"/>
      <selection pane="bottomLeft" activeCell="H23" sqref="H23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4" customWidth="1"/>
    <col min="4" max="4" width="20" customWidth="1"/>
    <col min="5" max="5" width="22" customWidth="1"/>
    <col min="6" max="6" width="18" style="8" customWidth="1"/>
    <col min="7" max="7" width="10" customWidth="1"/>
    <col min="8" max="8" width="14" customWidth="1"/>
  </cols>
  <sheetData>
    <row r="1" spans="1:8" ht="30" customHeight="1" x14ac:dyDescent="0.3">
      <c r="A1" s="1" t="s">
        <v>80</v>
      </c>
      <c r="B1" s="1" t="s">
        <v>15</v>
      </c>
      <c r="C1" s="1" t="s">
        <v>81</v>
      </c>
      <c r="D1" s="1" t="s">
        <v>82</v>
      </c>
      <c r="E1" s="1" t="s">
        <v>83</v>
      </c>
      <c r="F1" s="5" t="s">
        <v>84</v>
      </c>
      <c r="G1" s="1" t="s">
        <v>85</v>
      </c>
      <c r="H1" s="1" t="s">
        <v>86</v>
      </c>
    </row>
    <row r="2" spans="1:8" ht="15" customHeight="1" x14ac:dyDescent="0.3">
      <c r="A2" s="2" t="s">
        <v>87</v>
      </c>
      <c r="B2" s="2" t="s">
        <v>88</v>
      </c>
      <c r="C2" s="2" t="s">
        <v>89</v>
      </c>
      <c r="D2" s="2">
        <v>38500000</v>
      </c>
      <c r="E2" s="2">
        <v>33880000</v>
      </c>
      <c r="F2" s="6" t="s">
        <v>90</v>
      </c>
      <c r="G2" s="2" t="s">
        <v>91</v>
      </c>
      <c r="H2" s="2" t="s">
        <v>92</v>
      </c>
    </row>
    <row r="3" spans="1:8" ht="15" customHeight="1" x14ac:dyDescent="0.3">
      <c r="A3" s="3" t="s">
        <v>93</v>
      </c>
      <c r="B3" s="3" t="s">
        <v>36</v>
      </c>
      <c r="C3" s="3" t="s">
        <v>94</v>
      </c>
      <c r="D3" s="3">
        <v>22500000</v>
      </c>
      <c r="E3" s="3">
        <v>21375000</v>
      </c>
      <c r="F3" s="7" t="s">
        <v>95</v>
      </c>
      <c r="G3" s="3" t="s">
        <v>91</v>
      </c>
      <c r="H3" s="3" t="s">
        <v>96</v>
      </c>
    </row>
    <row r="4" spans="1:8" ht="15" customHeight="1" x14ac:dyDescent="0.3">
      <c r="A4" s="2" t="s">
        <v>97</v>
      </c>
      <c r="B4" s="2" t="s">
        <v>51</v>
      </c>
      <c r="C4" s="2" t="s">
        <v>98</v>
      </c>
      <c r="D4" s="2">
        <v>19200000</v>
      </c>
      <c r="E4" s="2">
        <v>7680000</v>
      </c>
      <c r="F4" s="6" t="s">
        <v>99</v>
      </c>
      <c r="G4" s="2" t="s">
        <v>100</v>
      </c>
      <c r="H4" s="2" t="s">
        <v>101</v>
      </c>
    </row>
    <row r="5" spans="1:8" ht="15" customHeight="1" x14ac:dyDescent="0.3">
      <c r="A5" s="3" t="s">
        <v>102</v>
      </c>
      <c r="B5" s="3" t="s">
        <v>43</v>
      </c>
      <c r="C5" s="3" t="s">
        <v>103</v>
      </c>
      <c r="D5" s="3">
        <v>35000000</v>
      </c>
      <c r="E5" s="3">
        <v>1750000</v>
      </c>
      <c r="F5" s="7" t="s">
        <v>104</v>
      </c>
      <c r="G5" s="3" t="s">
        <v>105</v>
      </c>
      <c r="H5" s="3" t="s">
        <v>106</v>
      </c>
    </row>
    <row r="6" spans="1:8" ht="15" customHeight="1" x14ac:dyDescent="0.3">
      <c r="A6" s="2" t="s">
        <v>107</v>
      </c>
      <c r="B6" s="2" t="s">
        <v>108</v>
      </c>
      <c r="C6" s="2" t="s">
        <v>89</v>
      </c>
      <c r="D6" s="2">
        <v>8500000</v>
      </c>
      <c r="E6" s="2">
        <v>0</v>
      </c>
      <c r="F6" s="6" t="s">
        <v>60</v>
      </c>
      <c r="G6" s="2" t="s">
        <v>60</v>
      </c>
      <c r="H6" s="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zoomScaleNormal="100" workbookViewId="0">
      <pane ySplit="1" topLeftCell="A2" activePane="bottomLeft" state="frozen"/>
      <selection pane="bottomLeft" activeCell="F27" sqref="F27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0" customWidth="1"/>
    <col min="4" max="5" width="14" customWidth="1"/>
    <col min="6" max="7" width="20" customWidth="1"/>
    <col min="8" max="8" width="16" customWidth="1"/>
    <col min="9" max="9" width="14" customWidth="1"/>
    <col min="10" max="10" width="16" customWidth="1"/>
    <col min="11" max="11" width="18" customWidth="1"/>
  </cols>
  <sheetData>
    <row r="1" spans="1:11" ht="30" customHeight="1" x14ac:dyDescent="0.3">
      <c r="A1" s="1" t="s">
        <v>109</v>
      </c>
      <c r="B1" s="1" t="s">
        <v>80</v>
      </c>
      <c r="C1" s="1" t="s">
        <v>15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5</v>
      </c>
    </row>
    <row r="2" spans="1:11" ht="15" customHeight="1" x14ac:dyDescent="0.3">
      <c r="A2" s="2" t="s">
        <v>117</v>
      </c>
      <c r="B2" s="2" t="s">
        <v>87</v>
      </c>
      <c r="C2" s="2" t="s">
        <v>88</v>
      </c>
      <c r="D2" s="2" t="s">
        <v>118</v>
      </c>
      <c r="E2" s="2" t="s">
        <v>119</v>
      </c>
      <c r="F2" s="2">
        <v>9625000</v>
      </c>
      <c r="G2" s="2">
        <v>9625000</v>
      </c>
      <c r="H2" s="2" t="s">
        <v>120</v>
      </c>
      <c r="I2" s="2" t="s">
        <v>121</v>
      </c>
      <c r="J2" s="2">
        <v>9</v>
      </c>
      <c r="K2" s="2">
        <f>F2-G2</f>
        <v>0</v>
      </c>
    </row>
    <row r="3" spans="1:11" ht="15" customHeight="1" x14ac:dyDescent="0.3">
      <c r="A3" s="3" t="s">
        <v>122</v>
      </c>
      <c r="B3" s="3" t="s">
        <v>102</v>
      </c>
      <c r="C3" s="3" t="s">
        <v>43</v>
      </c>
      <c r="D3" s="3" t="s">
        <v>123</v>
      </c>
      <c r="E3" s="3" t="s">
        <v>124</v>
      </c>
      <c r="F3" s="3">
        <v>8750000</v>
      </c>
      <c r="G3" s="3">
        <v>8750000</v>
      </c>
      <c r="H3" s="3" t="s">
        <v>125</v>
      </c>
      <c r="I3" s="3" t="s">
        <v>121</v>
      </c>
      <c r="J3" s="3">
        <v>13</v>
      </c>
      <c r="K3" s="3">
        <f>F3-G3</f>
        <v>0</v>
      </c>
    </row>
    <row r="4" spans="1:11" ht="15" customHeight="1" x14ac:dyDescent="0.3">
      <c r="A4" s="2" t="s">
        <v>126</v>
      </c>
      <c r="B4" s="2" t="s">
        <v>97</v>
      </c>
      <c r="C4" s="2" t="s">
        <v>51</v>
      </c>
      <c r="D4" s="2" t="s">
        <v>127</v>
      </c>
      <c r="E4" s="2" t="s">
        <v>128</v>
      </c>
      <c r="F4" s="2">
        <v>5760000</v>
      </c>
      <c r="G4" s="2">
        <v>5760000</v>
      </c>
      <c r="H4" s="2" t="s">
        <v>129</v>
      </c>
      <c r="I4" s="2" t="s">
        <v>130</v>
      </c>
      <c r="J4" s="2">
        <v>15</v>
      </c>
      <c r="K4" s="2">
        <f>F4-G4</f>
        <v>0</v>
      </c>
    </row>
    <row r="5" spans="1:11" ht="15" customHeight="1" x14ac:dyDescent="0.3">
      <c r="A5" s="3" t="s">
        <v>131</v>
      </c>
      <c r="B5" s="3" t="s">
        <v>93</v>
      </c>
      <c r="C5" s="3" t="s">
        <v>36</v>
      </c>
      <c r="D5" s="3" t="s">
        <v>132</v>
      </c>
      <c r="E5" s="3" t="s">
        <v>37</v>
      </c>
      <c r="F5" s="3">
        <v>4500000</v>
      </c>
      <c r="G5" s="3">
        <v>0</v>
      </c>
      <c r="H5" s="3"/>
      <c r="I5" s="3" t="s">
        <v>133</v>
      </c>
      <c r="J5" s="3">
        <v>0</v>
      </c>
      <c r="K5" s="3">
        <f>F5-G5</f>
        <v>4500000</v>
      </c>
    </row>
    <row r="6" spans="1:11" ht="15" customHeight="1" x14ac:dyDescent="0.3">
      <c r="A6" s="2" t="s">
        <v>134</v>
      </c>
      <c r="B6" s="2" t="s">
        <v>107</v>
      </c>
      <c r="C6" s="2" t="s">
        <v>108</v>
      </c>
      <c r="D6" s="2" t="s">
        <v>135</v>
      </c>
      <c r="E6" s="2" t="s">
        <v>136</v>
      </c>
      <c r="F6" s="2">
        <v>4250000</v>
      </c>
      <c r="G6" s="2">
        <v>4250000</v>
      </c>
      <c r="H6" s="2" t="s">
        <v>124</v>
      </c>
      <c r="I6" s="2" t="s">
        <v>121</v>
      </c>
      <c r="J6" s="2">
        <v>14</v>
      </c>
      <c r="K6" s="2">
        <f>F6-G6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tabSelected="1" zoomScaleNormal="100" workbookViewId="0">
      <pane ySplit="1" topLeftCell="A2" activePane="bottomLeft" state="frozen"/>
      <selection pane="bottomLeft" activeCell="H14" sqref="H14"/>
    </sheetView>
  </sheetViews>
  <sheetFormatPr defaultColWidth="8.6640625" defaultRowHeight="14.4" x14ac:dyDescent="0.3"/>
  <cols>
    <col min="1" max="1" width="20" customWidth="1"/>
    <col min="2" max="2" width="16" customWidth="1"/>
    <col min="3" max="4" width="10" customWidth="1"/>
    <col min="5" max="5" width="12" customWidth="1"/>
    <col min="6" max="6" width="16" customWidth="1"/>
    <col min="7" max="7" width="14" customWidth="1"/>
    <col min="8" max="8" width="20" customWidth="1"/>
  </cols>
  <sheetData>
    <row r="1" spans="1:8" ht="30" customHeight="1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 ht="15" customHeight="1" x14ac:dyDescent="0.3">
      <c r="A2" s="2" t="s">
        <v>145</v>
      </c>
      <c r="B2" s="2">
        <v>18</v>
      </c>
      <c r="C2" s="2">
        <v>6</v>
      </c>
      <c r="D2" s="2">
        <v>12</v>
      </c>
      <c r="E2" s="2">
        <v>4</v>
      </c>
      <c r="F2" s="2">
        <v>2</v>
      </c>
      <c r="G2" s="2">
        <v>1</v>
      </c>
      <c r="H2" s="2">
        <v>8.5</v>
      </c>
    </row>
    <row r="3" spans="1:8" ht="15" customHeight="1" x14ac:dyDescent="0.3">
      <c r="A3" s="3" t="s">
        <v>146</v>
      </c>
      <c r="B3" s="3">
        <v>5</v>
      </c>
      <c r="C3" s="3">
        <v>2</v>
      </c>
      <c r="D3" s="3">
        <v>3</v>
      </c>
      <c r="E3" s="3">
        <v>0</v>
      </c>
      <c r="F3" s="3">
        <v>1</v>
      </c>
      <c r="G3" s="3">
        <v>0</v>
      </c>
      <c r="H3" s="3">
        <v>6.2</v>
      </c>
    </row>
    <row r="4" spans="1:8" ht="15" customHeight="1" x14ac:dyDescent="0.3">
      <c r="A4" s="2" t="s">
        <v>147</v>
      </c>
      <c r="B4" s="2">
        <v>4</v>
      </c>
      <c r="C4" s="2">
        <v>0</v>
      </c>
      <c r="D4" s="2">
        <v>4</v>
      </c>
      <c r="E4" s="2">
        <v>0</v>
      </c>
      <c r="F4" s="2">
        <v>0</v>
      </c>
      <c r="G4" s="2">
        <v>0</v>
      </c>
      <c r="H4" s="2">
        <v>5.8</v>
      </c>
    </row>
    <row r="5" spans="1:8" ht="15" customHeight="1" x14ac:dyDescent="0.3">
      <c r="A5" s="3" t="s">
        <v>148</v>
      </c>
      <c r="B5" s="3">
        <v>12</v>
      </c>
      <c r="C5" s="3">
        <v>10</v>
      </c>
      <c r="D5" s="3">
        <v>2</v>
      </c>
      <c r="E5" s="3">
        <v>8</v>
      </c>
      <c r="F5" s="3">
        <v>3</v>
      </c>
      <c r="G5" s="3">
        <v>2</v>
      </c>
      <c r="H5" s="3">
        <v>9.1</v>
      </c>
    </row>
    <row r="6" spans="1:8" ht="15" customHeight="1" x14ac:dyDescent="0.3">
      <c r="A6" s="2" t="s">
        <v>149</v>
      </c>
      <c r="B6" s="2">
        <v>3</v>
      </c>
      <c r="C6" s="2">
        <v>2</v>
      </c>
      <c r="D6" s="2">
        <v>1</v>
      </c>
      <c r="E6" s="2">
        <v>0</v>
      </c>
      <c r="F6" s="2">
        <v>1</v>
      </c>
      <c r="G6" s="2">
        <v>0</v>
      </c>
      <c r="H6" s="2">
        <v>7.4</v>
      </c>
    </row>
    <row r="7" spans="1:8" ht="15" customHeight="1" x14ac:dyDescent="0.3">
      <c r="A7" s="3" t="s">
        <v>150</v>
      </c>
      <c r="B7" s="3">
        <v>5</v>
      </c>
      <c r="C7" s="3">
        <v>0</v>
      </c>
      <c r="D7" s="3">
        <v>5</v>
      </c>
      <c r="E7" s="3">
        <v>0</v>
      </c>
      <c r="F7" s="3">
        <v>0</v>
      </c>
      <c r="G7" s="3">
        <v>1</v>
      </c>
      <c r="H7" s="3">
        <v>6</v>
      </c>
    </row>
    <row r="8" spans="1:8" ht="15" customHeight="1" x14ac:dyDescent="0.3">
      <c r="A8" s="2" t="s">
        <v>151</v>
      </c>
      <c r="B8" s="2">
        <f t="shared" ref="B8:G8" si="0">SUM(B2:B7)</f>
        <v>47</v>
      </c>
      <c r="C8" s="2">
        <f t="shared" si="0"/>
        <v>20</v>
      </c>
      <c r="D8" s="2">
        <f t="shared" si="0"/>
        <v>27</v>
      </c>
      <c r="E8" s="2">
        <f t="shared" si="0"/>
        <v>12</v>
      </c>
      <c r="F8" s="2">
        <f t="shared" si="0"/>
        <v>7</v>
      </c>
      <c r="G8" s="2">
        <f t="shared" si="0"/>
        <v>4</v>
      </c>
      <c r="H8" s="2">
        <f>AVERAGE(H2:H7)</f>
        <v>7.166666666666667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Revenue_Summary</vt:lpstr>
      <vt:lpstr>Project_Status</vt:lpstr>
      <vt:lpstr>PnL_Summary</vt:lpstr>
      <vt:lpstr>OrderBook</vt:lpstr>
      <vt:lpstr>Collections</vt:lpstr>
      <vt:lpstr>Manpower_Summary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Shobhit Choudhary</cp:lastModifiedBy>
  <cp:revision>0</cp:revision>
  <dcterms:created xsi:type="dcterms:W3CDTF">2026-05-19T04:02:04Z</dcterms:created>
  <dcterms:modified xsi:type="dcterms:W3CDTF">2026-05-21T17:56:22Z</dcterms:modified>
  <dc:language>en-US</dc:language>
</cp:coreProperties>
</file>